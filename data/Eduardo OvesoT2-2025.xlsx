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diego\Documents\deber1python\Anvem2.0\data\"/>
    </mc:Choice>
  </mc:AlternateContent>
  <xr:revisionPtr revIDLastSave="0" documentId="13_ncr:1_{578CFA03-A59D-4A84-9CEA-E4B630478B10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By Song" sheetId="1" r:id="rId1"/>
    <sheet name="By Source" sheetId="2" r:id="rId2"/>
    <sheet name="By Count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14" i="1" s="1"/>
</calcChain>
</file>

<file path=xl/sharedStrings.xml><?xml version="1.0" encoding="utf-8"?>
<sst xmlns="http://schemas.openxmlformats.org/spreadsheetml/2006/main" count="54" uniqueCount="40">
  <si>
    <t>ANVEM PUBLISHING</t>
  </si>
  <si>
    <t>OVESO, MARCOS EDUARDO (ANVEM PUBLISHING)</t>
  </si>
  <si>
    <t>REGALIAS 2DO TRIMESTRE 2025</t>
  </si>
  <si>
    <t>Currency : USD</t>
  </si>
  <si>
    <t>ID</t>
  </si>
  <si>
    <t>SONG</t>
  </si>
  <si>
    <t>UNITS</t>
  </si>
  <si>
    <t>ROYALTIES</t>
  </si>
  <si>
    <t>9762</t>
  </si>
  <si>
    <t>EL 602</t>
  </si>
  <si>
    <t>TOTAL</t>
  </si>
  <si>
    <t>Total Royalties</t>
  </si>
  <si>
    <t>SOURCE</t>
  </si>
  <si>
    <t>Apple Music</t>
  </si>
  <si>
    <t>Spotify</t>
  </si>
  <si>
    <t>YouTube</t>
  </si>
  <si>
    <t>SPOTIFY PREMIUM</t>
  </si>
  <si>
    <t>SPOTIFY FAMILY PLAN</t>
  </si>
  <si>
    <t>SPOTIFY DUO</t>
  </si>
  <si>
    <t>YOUTUBE AVO 2 A 4 24</t>
  </si>
  <si>
    <t>SoundCloud Operations Inc.</t>
  </si>
  <si>
    <t>AMAZON M. 2T24-3T24</t>
  </si>
  <si>
    <t>SPOTIFY FREE DSR</t>
  </si>
  <si>
    <t>FACEBOOK-INST</t>
  </si>
  <si>
    <t>YOUTUBE PREMIUM</t>
  </si>
  <si>
    <t>SPOTIFY STUDENT</t>
  </si>
  <si>
    <t>TIK TOK (MAYO23-ABRI</t>
  </si>
  <si>
    <t>Amazon Music</t>
  </si>
  <si>
    <t>YOUTUBE PREMIUM MUSI</t>
  </si>
  <si>
    <t>tiktok</t>
  </si>
  <si>
    <t>Deezer S.A.</t>
  </si>
  <si>
    <t>Tidal</t>
  </si>
  <si>
    <t>Pandora</t>
  </si>
  <si>
    <t>iHeartRadio</t>
  </si>
  <si>
    <t>COUNTRY</t>
  </si>
  <si>
    <t>USA</t>
  </si>
  <si>
    <t>MEXICO</t>
  </si>
  <si>
    <t>PUERTO RICO</t>
  </si>
  <si>
    <t>Taxes</t>
  </si>
  <si>
    <t>Net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</si>
</sst>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#,##0"/>
    <numFmt numFmtId="165" formatCode="###,###,##0.00000000"/>
  </numFmts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C3:I14"/>
  <sheetViews>
    <sheetView tabSelected="1" topLeftCell="D2" workbookViewId="0">
      <selection activeCell="I14" sqref="I14"/>
    </sheetView>
  </sheetViews>
  <sheetFormatPr baseColWidth="10" defaultColWidth="8.88671875" defaultRowHeight="14.4" x14ac:dyDescent="0.3"/>
  <cols>
    <col min="3" max="3" width="15" customWidth="1"/>
    <col min="4" max="4" width="50" customWidth="1"/>
    <col min="5" max="6" width="25" customWidth="1"/>
  </cols>
  <sheetData>
    <row r="3" spans="3:9" x14ac:dyDescent="0.3">
      <c r="C3" t="s">
        <v>0</v>
      </c>
    </row>
    <row r="5" spans="3:9" x14ac:dyDescent="0.3">
      <c r="C5" t="s">
        <v>1</v>
      </c>
      <c r="I5">
        <v>41.847528850000003</v>
      </c>
    </row>
    <row r="7" spans="3:9" x14ac:dyDescent="0.3">
      <c r="C7" t="s">
        <v>2</v>
      </c>
    </row>
    <row r="8" spans="3:9" x14ac:dyDescent="0.3">
      <c r="C8" t="s">
        <v>3</v>
      </c>
    </row>
    <row r="9" spans="3:9" x14ac:dyDescent="0.3">
      <c r="C9" s="1" t="s">
        <v>4</v>
      </c>
      <c r="D9" s="1" t="s">
        <v>5</v>
      </c>
      <c r="E9" s="1" t="s">
        <v>6</v>
      </c>
      <c r="F9" s="1" t="s">
        <v>7</v>
      </c>
    </row>
    <row r="10" spans="3:9" x14ac:dyDescent="0.3">
      <c r="C10" t="s">
        <v>8</v>
      </c>
      <c r="D10" t="s">
        <v>9</v>
      </c>
      <c r="E10" s="2">
        <v>3253868</v>
      </c>
      <c r="F10" s="3">
        <v>41.847528850000003</v>
      </c>
      <c r="H10">
        <v>25</v>
      </c>
      <c r="I10">
        <v>1.8683300000000001E-3</v>
      </c>
    </row>
    <row r="11" spans="3:9" x14ac:dyDescent="0.3">
      <c r="H11">
        <v>25</v>
      </c>
      <c r="I11">
        <v>2.4534399999999999E-3</v>
      </c>
    </row>
    <row r="12" spans="3:9" x14ac:dyDescent="0.3">
      <c r="D12" s="4" t="s">
        <v>10</v>
      </c>
      <c r="E12" s="2">
        <v>3253868</v>
      </c>
      <c r="F12" s="3">
        <v>41.847528850000003</v>
      </c>
      <c r="H12" t="s">
        <v>11</v>
      </c>
      <c r="I12">
        <v>41.847528850000003</v>
      </c>
    </row>
    <row r="13" spans="3:9" x14ac:dyDescent="0.3">
      <c r="H13" t="s">
        <v>38</v>
      </c>
      <c r="I13">
        <f>I12*0.1</f>
        <v>4.1847528850000009</v>
      </c>
    </row>
    <row r="14" spans="3:9" x14ac:dyDescent="0.3">
      <c r="H14" t="s">
        <v>39</v>
      </c>
      <c r="I14">
        <f>I12-I13</f>
        <v>37.662775965000002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C3:E32"/>
  <sheetViews>
    <sheetView workbookViewId="0"/>
  </sheetViews>
  <sheetFormatPr baseColWidth="10" defaultColWidth="8.88671875" defaultRowHeight="14.4" x14ac:dyDescent="0.3"/>
  <cols>
    <col min="3" max="3" width="50" customWidth="1"/>
    <col min="4" max="5" width="25" customWidth="1"/>
  </cols>
  <sheetData>
    <row r="3" spans="3:5" x14ac:dyDescent="0.3">
      <c r="C3" t="s">
        <v>0</v>
      </c>
    </row>
    <row r="5" spans="3:5" x14ac:dyDescent="0.3">
      <c r="C5" t="s">
        <v>1</v>
      </c>
    </row>
    <row r="7" spans="3:5" x14ac:dyDescent="0.3">
      <c r="C7" t="s">
        <v>2</v>
      </c>
    </row>
    <row r="8" spans="3:5" x14ac:dyDescent="0.3">
      <c r="C8" t="s">
        <v>3</v>
      </c>
    </row>
    <row r="9" spans="3:5" x14ac:dyDescent="0.3">
      <c r="C9" s="1" t="s">
        <v>12</v>
      </c>
      <c r="D9" s="1" t="s">
        <v>6</v>
      </c>
      <c r="E9" s="1" t="s">
        <v>7</v>
      </c>
    </row>
    <row r="10" spans="3:5" x14ac:dyDescent="0.3">
      <c r="C10" t="s">
        <v>13</v>
      </c>
      <c r="D10" s="2">
        <v>96315</v>
      </c>
      <c r="E10" s="3">
        <v>10.69042786</v>
      </c>
    </row>
    <row r="11" spans="3:5" x14ac:dyDescent="0.3">
      <c r="C11" t="s">
        <v>14</v>
      </c>
      <c r="D11" s="2">
        <v>93782</v>
      </c>
      <c r="E11" s="3">
        <v>7.6852946600000003</v>
      </c>
    </row>
    <row r="12" spans="3:5" x14ac:dyDescent="0.3">
      <c r="C12" t="s">
        <v>15</v>
      </c>
      <c r="D12" s="2">
        <v>40471</v>
      </c>
      <c r="E12" s="3">
        <v>6.3376654099999996</v>
      </c>
    </row>
    <row r="13" spans="3:5" x14ac:dyDescent="0.3">
      <c r="C13" t="s">
        <v>16</v>
      </c>
      <c r="D13" s="2">
        <v>73658</v>
      </c>
      <c r="E13" s="3">
        <v>5.65271597</v>
      </c>
    </row>
    <row r="14" spans="3:5" x14ac:dyDescent="0.3">
      <c r="C14" t="s">
        <v>17</v>
      </c>
      <c r="D14" s="2">
        <v>179573</v>
      </c>
      <c r="E14" s="3">
        <v>3.9569458800000001</v>
      </c>
    </row>
    <row r="15" spans="3:5" x14ac:dyDescent="0.3">
      <c r="C15" t="s">
        <v>18</v>
      </c>
      <c r="D15" s="2">
        <v>35012</v>
      </c>
      <c r="E15" s="3">
        <v>1.59742311</v>
      </c>
    </row>
    <row r="16" spans="3:5" x14ac:dyDescent="0.3">
      <c r="C16" t="s">
        <v>19</v>
      </c>
      <c r="D16" s="2">
        <v>113161</v>
      </c>
      <c r="E16" s="3">
        <v>1.0954959099999999</v>
      </c>
    </row>
    <row r="17" spans="3:5" x14ac:dyDescent="0.3">
      <c r="C17" t="s">
        <v>20</v>
      </c>
      <c r="D17" s="2">
        <v>5448</v>
      </c>
      <c r="E17" s="3">
        <v>0.93015307999999997</v>
      </c>
    </row>
    <row r="18" spans="3:5" x14ac:dyDescent="0.3">
      <c r="C18" t="s">
        <v>21</v>
      </c>
      <c r="D18" s="2">
        <v>17379</v>
      </c>
      <c r="E18" s="3">
        <v>0.87493045999999997</v>
      </c>
    </row>
    <row r="19" spans="3:5" x14ac:dyDescent="0.3">
      <c r="C19" t="s">
        <v>22</v>
      </c>
      <c r="D19" s="2">
        <v>155981</v>
      </c>
      <c r="E19" s="3">
        <v>0.80760748999999998</v>
      </c>
    </row>
    <row r="20" spans="3:5" x14ac:dyDescent="0.3">
      <c r="C20" t="s">
        <v>23</v>
      </c>
      <c r="D20" s="2">
        <v>2360133</v>
      </c>
      <c r="E20" s="3">
        <v>0.69862115999999996</v>
      </c>
    </row>
    <row r="21" spans="3:5" x14ac:dyDescent="0.3">
      <c r="C21" t="s">
        <v>24</v>
      </c>
      <c r="D21" s="2">
        <v>47523</v>
      </c>
      <c r="E21" s="3">
        <v>0.63406978000000003</v>
      </c>
    </row>
    <row r="22" spans="3:5" x14ac:dyDescent="0.3">
      <c r="C22" t="s">
        <v>25</v>
      </c>
      <c r="D22" s="2">
        <v>18850</v>
      </c>
      <c r="E22" s="3">
        <v>0.49513232000000001</v>
      </c>
    </row>
    <row r="23" spans="3:5" x14ac:dyDescent="0.3">
      <c r="C23" t="s">
        <v>26</v>
      </c>
      <c r="D23" s="2">
        <v>909</v>
      </c>
      <c r="E23" s="3">
        <v>0.11059564</v>
      </c>
    </row>
    <row r="24" spans="3:5" x14ac:dyDescent="0.3">
      <c r="C24" t="s">
        <v>27</v>
      </c>
      <c r="D24" s="2">
        <v>541</v>
      </c>
      <c r="E24" s="3">
        <v>9.6494609999999995E-2</v>
      </c>
    </row>
    <row r="25" spans="3:5" x14ac:dyDescent="0.3">
      <c r="C25" t="s">
        <v>28</v>
      </c>
      <c r="D25" s="2">
        <v>14590</v>
      </c>
      <c r="E25" s="3">
        <v>7.6621229999999999E-2</v>
      </c>
    </row>
    <row r="26" spans="3:5" x14ac:dyDescent="0.3">
      <c r="C26" t="s">
        <v>29</v>
      </c>
      <c r="D26" s="2">
        <v>370</v>
      </c>
      <c r="E26" s="3">
        <v>7.0436760000000001E-2</v>
      </c>
    </row>
    <row r="27" spans="3:5" x14ac:dyDescent="0.3">
      <c r="C27" t="s">
        <v>30</v>
      </c>
      <c r="D27" s="2">
        <v>42</v>
      </c>
      <c r="E27" s="3">
        <v>1.5855589999999999E-2</v>
      </c>
    </row>
    <row r="28" spans="3:5" x14ac:dyDescent="0.3">
      <c r="C28" t="s">
        <v>31</v>
      </c>
      <c r="D28" s="2">
        <v>46</v>
      </c>
      <c r="E28" s="3">
        <v>1.246162E-2</v>
      </c>
    </row>
    <row r="29" spans="3:5" x14ac:dyDescent="0.3">
      <c r="C29" t="s">
        <v>32</v>
      </c>
      <c r="D29" s="2">
        <v>82</v>
      </c>
      <c r="E29" s="3">
        <v>8.0090500000000002E-3</v>
      </c>
    </row>
    <row r="30" spans="3:5" x14ac:dyDescent="0.3">
      <c r="C30" t="s">
        <v>33</v>
      </c>
      <c r="D30" s="2">
        <v>2</v>
      </c>
      <c r="E30" s="3">
        <v>5.7125999999999998E-4</v>
      </c>
    </row>
    <row r="32" spans="3:5" x14ac:dyDescent="0.3">
      <c r="C32" s="4" t="s">
        <v>10</v>
      </c>
      <c r="D32" s="2">
        <v>3253868</v>
      </c>
      <c r="E32" s="3">
        <v>41.847528850000003</v>
      </c>
    </row>
  </sheetData>
  <pageMargins left="0.7" right="0.7" top="0.75" bottom="0.75" header="0.3" footer="0.3"/>
  <pageSetup firstPageNumber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C3:E14"/>
  <sheetViews>
    <sheetView workbookViewId="0"/>
  </sheetViews>
  <sheetFormatPr baseColWidth="10" defaultColWidth="8.88671875" defaultRowHeight="14.4" x14ac:dyDescent="0.3"/>
  <cols>
    <col min="3" max="3" width="50" customWidth="1"/>
    <col min="4" max="5" width="25" customWidth="1"/>
  </cols>
  <sheetData>
    <row r="3" spans="3:5" x14ac:dyDescent="0.3">
      <c r="C3" t="s">
        <v>0</v>
      </c>
    </row>
    <row r="5" spans="3:5" x14ac:dyDescent="0.3">
      <c r="C5" t="s">
        <v>1</v>
      </c>
    </row>
    <row r="7" spans="3:5" x14ac:dyDescent="0.3">
      <c r="C7" t="s">
        <v>2</v>
      </c>
    </row>
    <row r="8" spans="3:5" x14ac:dyDescent="0.3">
      <c r="C8" t="s">
        <v>3</v>
      </c>
    </row>
    <row r="9" spans="3:5" x14ac:dyDescent="0.3">
      <c r="C9" s="1" t="s">
        <v>34</v>
      </c>
      <c r="D9" s="1" t="s">
        <v>6</v>
      </c>
      <c r="E9" s="1" t="s">
        <v>7</v>
      </c>
    </row>
    <row r="10" spans="3:5" x14ac:dyDescent="0.3">
      <c r="C10" t="s">
        <v>35</v>
      </c>
      <c r="D10" s="2">
        <v>191871</v>
      </c>
      <c r="E10" s="3">
        <v>24.2793046</v>
      </c>
    </row>
    <row r="11" spans="3:5" x14ac:dyDescent="0.3">
      <c r="C11" t="s">
        <v>36</v>
      </c>
      <c r="D11" s="2">
        <v>3061992</v>
      </c>
      <c r="E11" s="3">
        <v>17.568015509999999</v>
      </c>
    </row>
    <row r="12" spans="3:5" x14ac:dyDescent="0.3">
      <c r="C12" t="s">
        <v>37</v>
      </c>
      <c r="D12" s="2">
        <v>5</v>
      </c>
      <c r="E12" s="3">
        <v>2.0874000000000001E-4</v>
      </c>
    </row>
    <row r="14" spans="3:5" x14ac:dyDescent="0.3">
      <c r="C14" s="4" t="s">
        <v>10</v>
      </c>
      <c r="D14" s="2">
        <v>3253868</v>
      </c>
      <c r="E14" s="3">
        <v>41.847528850000003</v>
      </c>
    </row>
  </sheetData>
  <pageMargins left="0.7" right="0.7" top="0.75" bottom="0.75" header="0.3" footer="0.3"/>
  <pageSetup firstPageNumber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By Song</vt:lpstr>
      <vt:lpstr>By Source</vt:lpstr>
      <vt:lpstr>By Country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Application</dc:creator>
  <cp:lastModifiedBy>Diego Josue</cp:lastModifiedBy>
  <dcterms:created xsi:type="dcterms:W3CDTF">2025-10-05T22:11:43Z</dcterms:created>
  <dcterms:modified xsi:type="dcterms:W3CDTF">2025-10-14T17:42:33Z</dcterms:modified>
</cp:coreProperties>
</file>