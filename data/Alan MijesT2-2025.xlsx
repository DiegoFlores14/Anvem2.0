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diego\Documents\deber1python\Anvem2.0\data\"/>
    </mc:Choice>
  </mc:AlternateContent>
  <xr:revisionPtr revIDLastSave="0" documentId="13_ncr:1_{212DE241-290B-456D-9CFD-8EAD535C53B6}" xr6:coauthVersionLast="47" xr6:coauthVersionMax="47" xr10:uidLastSave="{00000000-0000-0000-0000-000000000000}"/>
  <bookViews>
    <workbookView xWindow="-96" yWindow="0" windowWidth="11712" windowHeight="13056" xr2:uid="{00000000-000D-0000-FFFF-FFFF00000000}"/>
  </bookViews>
  <sheets>
    <sheet name="By Song" sheetId="1" r:id="rId1"/>
    <sheet name="By Source" sheetId="2" r:id="rId2"/>
    <sheet name="By Count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1" l="1"/>
  <c r="I14" i="1" s="1"/>
</calcChain>
</file>

<file path=xl/sharedStrings.xml><?xml version="1.0" encoding="utf-8"?>
<sst xmlns="http://schemas.openxmlformats.org/spreadsheetml/2006/main" count="165" uniqueCount="151">
  <si>
    <t>ANVEM PUBLISHING</t>
  </si>
  <si>
    <t>MIJES PONCE, ALAN JOSUE (ANVEM PUB)</t>
  </si>
  <si>
    <t>REGALIAS 2DO TRIMESTRE 2025</t>
  </si>
  <si>
    <t>Currency : USD</t>
  </si>
  <si>
    <t>ID</t>
  </si>
  <si>
    <t>SONG</t>
  </si>
  <si>
    <t>UNITS</t>
  </si>
  <si>
    <t>ROYALTIES</t>
  </si>
  <si>
    <t>11411</t>
  </si>
  <si>
    <t>LE GUSTAN TUMBADOS</t>
  </si>
  <si>
    <t>11418</t>
  </si>
  <si>
    <t>LE GUSTAN TUMBADAS</t>
  </si>
  <si>
    <t>11413</t>
  </si>
  <si>
    <t>MI NINO INTERIOR</t>
  </si>
  <si>
    <t>11796</t>
  </si>
  <si>
    <t>LA CHOTA</t>
  </si>
  <si>
    <t>11404</t>
  </si>
  <si>
    <t>MODO GUERRERO</t>
  </si>
  <si>
    <t>Total Royalties</t>
  </si>
  <si>
    <t>11397</t>
  </si>
  <si>
    <t>TRANQUILO WEY</t>
  </si>
  <si>
    <t>11416</t>
  </si>
  <si>
    <t>CYPHER TUMBADO #2</t>
  </si>
  <si>
    <t>11403</t>
  </si>
  <si>
    <t>CHOLO MEX</t>
  </si>
  <si>
    <t>11419</t>
  </si>
  <si>
    <t>TUMBADO Y PLACOSO</t>
  </si>
  <si>
    <t>11422</t>
  </si>
  <si>
    <t>ELLA ES CELOSA</t>
  </si>
  <si>
    <t>11425</t>
  </si>
  <si>
    <t>MISILES</t>
  </si>
  <si>
    <t>11405</t>
  </si>
  <si>
    <t>LOCOCHON</t>
  </si>
  <si>
    <t>11402</t>
  </si>
  <si>
    <t>EMINEM</t>
  </si>
  <si>
    <t>11415</t>
  </si>
  <si>
    <t>CYPHER TUMBADO #1</t>
  </si>
  <si>
    <t>11795</t>
  </si>
  <si>
    <t>EL ES CELOSO</t>
  </si>
  <si>
    <t>11399</t>
  </si>
  <si>
    <t>NO ES LO MISMO</t>
  </si>
  <si>
    <t>11423</t>
  </si>
  <si>
    <t>NI TE TOPO</t>
  </si>
  <si>
    <t>11401</t>
  </si>
  <si>
    <t>MI MEXICO</t>
  </si>
  <si>
    <t>11417</t>
  </si>
  <si>
    <t>TRAICIONEROS</t>
  </si>
  <si>
    <t>11414</t>
  </si>
  <si>
    <t>EL QUEJUMBROSO</t>
  </si>
  <si>
    <t>11390</t>
  </si>
  <si>
    <t>DE CHILL</t>
  </si>
  <si>
    <t>11406</t>
  </si>
  <si>
    <t>MALANDROS</t>
  </si>
  <si>
    <t>11424</t>
  </si>
  <si>
    <t>CYPHER TUMBADO #4</t>
  </si>
  <si>
    <t>12501</t>
  </si>
  <si>
    <t>LA RED FLAG</t>
  </si>
  <si>
    <t>11421</t>
  </si>
  <si>
    <t>LA CASA DE LOS PLACOSOS</t>
  </si>
  <si>
    <t>11389</t>
  </si>
  <si>
    <t>RAPERO SIN FAMA</t>
  </si>
  <si>
    <t>11391</t>
  </si>
  <si>
    <t>LA TIERRA MAS CABRONA</t>
  </si>
  <si>
    <t>11412</t>
  </si>
  <si>
    <t>CRISTALAZO</t>
  </si>
  <si>
    <t>11395</t>
  </si>
  <si>
    <t>14 DE FEBRERO</t>
  </si>
  <si>
    <t>11385</t>
  </si>
  <si>
    <t>NO ES MI CULPA</t>
  </si>
  <si>
    <t>11386</t>
  </si>
  <si>
    <t>DIJERON QUE NO</t>
  </si>
  <si>
    <t>11420</t>
  </si>
  <si>
    <t>CYPHER TUMBADO #3</t>
  </si>
  <si>
    <t>11380</t>
  </si>
  <si>
    <t>SIGUIENTE</t>
  </si>
  <si>
    <t>11388</t>
  </si>
  <si>
    <t>ME LLAMAN G</t>
  </si>
  <si>
    <t>11400</t>
  </si>
  <si>
    <t>NO PIERDO LA FE</t>
  </si>
  <si>
    <t>11398</t>
  </si>
  <si>
    <t>DEMBOW BELICOSO</t>
  </si>
  <si>
    <t>11381</t>
  </si>
  <si>
    <t>ELLA</t>
  </si>
  <si>
    <t>11392</t>
  </si>
  <si>
    <t>LO MEJOR DE MI EX</t>
  </si>
  <si>
    <t>11378</t>
  </si>
  <si>
    <t>JALAS JALO</t>
  </si>
  <si>
    <t>11382</t>
  </si>
  <si>
    <t>DALE</t>
  </si>
  <si>
    <t>11387</t>
  </si>
  <si>
    <t>MI TURNO</t>
  </si>
  <si>
    <t>11396</t>
  </si>
  <si>
    <t>EL GABO</t>
  </si>
  <si>
    <t>11394</t>
  </si>
  <si>
    <t>MILLONARIO</t>
  </si>
  <si>
    <t>11383</t>
  </si>
  <si>
    <t>PIN PON</t>
  </si>
  <si>
    <t>11393</t>
  </si>
  <si>
    <t>LE GUSTA A TU MAMA</t>
  </si>
  <si>
    <t>11384</t>
  </si>
  <si>
    <t>PA QUEMAR</t>
  </si>
  <si>
    <t>11379</t>
  </si>
  <si>
    <t>LO PIDE</t>
  </si>
  <si>
    <t>TOTAL</t>
  </si>
  <si>
    <t>SOURCE</t>
  </si>
  <si>
    <t>Spotify</t>
  </si>
  <si>
    <t>SPOTIFY PREMIUM</t>
  </si>
  <si>
    <t>SPOTIFY FAMILY PLAN</t>
  </si>
  <si>
    <t>YouTube</t>
  </si>
  <si>
    <t>SPOTIFY FREE DSR</t>
  </si>
  <si>
    <t>Apple Music</t>
  </si>
  <si>
    <t>SPOTIFY DUO</t>
  </si>
  <si>
    <t>YOUTUBE PREMIUM</t>
  </si>
  <si>
    <t>FACEBOOK-INST</t>
  </si>
  <si>
    <t>YOUTUBE AVO 2 A 4 24</t>
  </si>
  <si>
    <t>SPOTIFY STUDENT</t>
  </si>
  <si>
    <t>AMAZON M. 2T24-3T24</t>
  </si>
  <si>
    <t>tiktok</t>
  </si>
  <si>
    <t>Amazon Music</t>
  </si>
  <si>
    <t>TIK TOK (MAYO23-ABRI</t>
  </si>
  <si>
    <t>Deezer S.A.</t>
  </si>
  <si>
    <t>SoundCloud Operations Inc.</t>
  </si>
  <si>
    <t>SPOTIFY COMPL 4/22</t>
  </si>
  <si>
    <t>Audiomack Inc.</t>
  </si>
  <si>
    <t>Pandora</t>
  </si>
  <si>
    <t>YOUTUBE PREMIUM MUSI</t>
  </si>
  <si>
    <t>Tidal</t>
  </si>
  <si>
    <t>IHEART RADIO(2024)</t>
  </si>
  <si>
    <t>TREBEL</t>
  </si>
  <si>
    <t>SPOTIFY COMPL 3/22</t>
  </si>
  <si>
    <t>iHeartRadio</t>
  </si>
  <si>
    <t>COUNTRY</t>
  </si>
  <si>
    <t>MEXICO</t>
  </si>
  <si>
    <t>USA</t>
  </si>
  <si>
    <t>ARGENTINA</t>
  </si>
  <si>
    <t>COLOMBIA</t>
  </si>
  <si>
    <t>SPAIN</t>
  </si>
  <si>
    <t>DOMINICAN REPUBLIC</t>
  </si>
  <si>
    <t>CHILE</t>
  </si>
  <si>
    <t>VENEZUELA</t>
  </si>
  <si>
    <t>ECUADOR</t>
  </si>
  <si>
    <t>PERU</t>
  </si>
  <si>
    <t>GUATEMALA</t>
  </si>
  <si>
    <t>HONDURAS</t>
  </si>
  <si>
    <t>URUGUAY</t>
  </si>
  <si>
    <t>COSTA RICA</t>
  </si>
  <si>
    <t>PARAGUAY</t>
  </si>
  <si>
    <t>BOLIVIA</t>
  </si>
  <si>
    <t>PUERTO RICO</t>
  </si>
  <si>
    <t>Taxes</t>
  </si>
  <si>
    <t>Net Payment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</si>
</sst>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,###,##0"/>
    <numFmt numFmtId="165" formatCode="###,###,##0.00000000"/>
  </numFmts>
  <fonts count="2" x14ac:knownFonts="1">
    <font>
      <sz val="11"/>
      <color rgb="FF000000"/>
      <name val="Calibri"/>
    </font>
    <font>
      <u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EEEE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 applyAlignment="1">
      <alignment horizontal="center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right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C3:I58"/>
  <sheetViews>
    <sheetView tabSelected="1" topLeftCell="D6" workbookViewId="0">
      <selection activeCell="I18" sqref="I18"/>
    </sheetView>
  </sheetViews>
  <sheetFormatPr baseColWidth="10" defaultColWidth="8.88671875" defaultRowHeight="14.4" x14ac:dyDescent="0.3"/>
  <cols>
    <col min="3" max="3" width="15" customWidth="1"/>
    <col min="4" max="4" width="50" customWidth="1"/>
    <col min="5" max="6" width="25" customWidth="1"/>
  </cols>
  <sheetData>
    <row r="3" spans="3:9" x14ac:dyDescent="0.3">
      <c r="C3" t="s">
        <v>0</v>
      </c>
    </row>
    <row r="5" spans="3:9" x14ac:dyDescent="0.3">
      <c r="C5" t="s">
        <v>1</v>
      </c>
    </row>
    <row r="7" spans="3:9" x14ac:dyDescent="0.3">
      <c r="C7" t="s">
        <v>2</v>
      </c>
    </row>
    <row r="8" spans="3:9" x14ac:dyDescent="0.3">
      <c r="C8" t="s">
        <v>3</v>
      </c>
    </row>
    <row r="9" spans="3:9" x14ac:dyDescent="0.3">
      <c r="C9" s="1" t="s">
        <v>4</v>
      </c>
      <c r="D9" s="1" t="s">
        <v>5</v>
      </c>
      <c r="E9" s="1" t="s">
        <v>6</v>
      </c>
      <c r="F9" s="1" t="s">
        <v>7</v>
      </c>
    </row>
    <row r="10" spans="3:9" x14ac:dyDescent="0.3">
      <c r="C10" t="s">
        <v>8</v>
      </c>
      <c r="D10" t="s">
        <v>9</v>
      </c>
      <c r="E10" s="2">
        <v>1046444</v>
      </c>
      <c r="F10" s="3">
        <v>29.423920970000001</v>
      </c>
      <c r="H10">
        <v>50</v>
      </c>
      <c r="I10">
        <v>3.7366E-4</v>
      </c>
    </row>
    <row r="11" spans="3:9" x14ac:dyDescent="0.3">
      <c r="C11" t="s">
        <v>10</v>
      </c>
      <c r="D11" t="s">
        <v>11</v>
      </c>
      <c r="E11" s="2">
        <v>2483481</v>
      </c>
      <c r="F11" s="3">
        <v>29.00168438</v>
      </c>
      <c r="H11">
        <v>50</v>
      </c>
      <c r="I11">
        <v>1.0354400000000001E-3</v>
      </c>
    </row>
    <row r="12" spans="3:9" x14ac:dyDescent="0.3">
      <c r="C12" t="s">
        <v>12</v>
      </c>
      <c r="D12" t="s">
        <v>13</v>
      </c>
      <c r="E12" s="2">
        <v>623790</v>
      </c>
      <c r="F12" s="3">
        <v>28.108226269999999</v>
      </c>
      <c r="H12" t="s">
        <v>18</v>
      </c>
      <c r="I12">
        <v>240.678381</v>
      </c>
    </row>
    <row r="13" spans="3:9" x14ac:dyDescent="0.3">
      <c r="C13" t="s">
        <v>14</v>
      </c>
      <c r="D13" t="s">
        <v>15</v>
      </c>
      <c r="E13" s="2">
        <v>97241</v>
      </c>
      <c r="F13" s="3">
        <v>21.96286456</v>
      </c>
      <c r="H13" t="s">
        <v>149</v>
      </c>
      <c r="I13">
        <f>I12*0.1</f>
        <v>24.067838100000003</v>
      </c>
    </row>
    <row r="14" spans="3:9" x14ac:dyDescent="0.3">
      <c r="C14" t="s">
        <v>16</v>
      </c>
      <c r="D14" t="s">
        <v>17</v>
      </c>
      <c r="E14" s="2">
        <v>291175</v>
      </c>
      <c r="F14" s="3">
        <v>19.380009449999999</v>
      </c>
      <c r="H14" t="s">
        <v>150</v>
      </c>
      <c r="I14">
        <f>I12-I13</f>
        <v>216.61054289999998</v>
      </c>
    </row>
    <row r="15" spans="3:9" x14ac:dyDescent="0.3">
      <c r="C15" t="s">
        <v>19</v>
      </c>
      <c r="D15" t="s">
        <v>20</v>
      </c>
      <c r="E15" s="2">
        <v>465864</v>
      </c>
      <c r="F15" s="3">
        <v>19.196552369999999</v>
      </c>
    </row>
    <row r="16" spans="3:9" x14ac:dyDescent="0.3">
      <c r="C16" t="s">
        <v>21</v>
      </c>
      <c r="D16" t="s">
        <v>22</v>
      </c>
      <c r="E16" s="2">
        <v>2968143</v>
      </c>
      <c r="F16" s="3">
        <v>13.167607820000001</v>
      </c>
    </row>
    <row r="17" spans="3:9" x14ac:dyDescent="0.3">
      <c r="C17" t="s">
        <v>23</v>
      </c>
      <c r="D17" t="s">
        <v>24</v>
      </c>
      <c r="E17" s="2">
        <v>197030</v>
      </c>
      <c r="F17" s="3">
        <v>11.195789720000001</v>
      </c>
    </row>
    <row r="18" spans="3:9" x14ac:dyDescent="0.3">
      <c r="C18" t="s">
        <v>25</v>
      </c>
      <c r="D18" t="s">
        <v>26</v>
      </c>
      <c r="E18" s="2">
        <v>1486317</v>
      </c>
      <c r="F18" s="3">
        <v>9.6144694099999999</v>
      </c>
      <c r="I18" s="5"/>
    </row>
    <row r="19" spans="3:9" x14ac:dyDescent="0.3">
      <c r="C19" t="s">
        <v>27</v>
      </c>
      <c r="D19" t="s">
        <v>28</v>
      </c>
      <c r="E19" s="2">
        <v>92598</v>
      </c>
      <c r="F19" s="3">
        <v>8.8415035</v>
      </c>
    </row>
    <row r="20" spans="3:9" x14ac:dyDescent="0.3">
      <c r="C20" t="s">
        <v>29</v>
      </c>
      <c r="D20" t="s">
        <v>30</v>
      </c>
      <c r="E20" s="2">
        <v>116121</v>
      </c>
      <c r="F20" s="3">
        <v>8.4036623099999996</v>
      </c>
    </row>
    <row r="21" spans="3:9" x14ac:dyDescent="0.3">
      <c r="C21" t="s">
        <v>31</v>
      </c>
      <c r="D21" t="s">
        <v>32</v>
      </c>
      <c r="E21" s="2">
        <v>98309</v>
      </c>
      <c r="F21" s="3">
        <v>8.0439949399999993</v>
      </c>
    </row>
    <row r="22" spans="3:9" x14ac:dyDescent="0.3">
      <c r="C22" t="s">
        <v>33</v>
      </c>
      <c r="D22" t="s">
        <v>34</v>
      </c>
      <c r="E22" s="2">
        <v>142131</v>
      </c>
      <c r="F22" s="3">
        <v>5.5968572500000002</v>
      </c>
    </row>
    <row r="23" spans="3:9" x14ac:dyDescent="0.3">
      <c r="C23" t="s">
        <v>35</v>
      </c>
      <c r="D23" t="s">
        <v>36</v>
      </c>
      <c r="E23" s="2">
        <v>101559</v>
      </c>
      <c r="F23" s="3">
        <v>5.1199717700000003</v>
      </c>
    </row>
    <row r="24" spans="3:9" x14ac:dyDescent="0.3">
      <c r="C24" t="s">
        <v>37</v>
      </c>
      <c r="D24" t="s">
        <v>38</v>
      </c>
      <c r="E24" s="2">
        <v>18670</v>
      </c>
      <c r="F24" s="3">
        <v>3.9197792200000001</v>
      </c>
    </row>
    <row r="25" spans="3:9" x14ac:dyDescent="0.3">
      <c r="C25" t="s">
        <v>39</v>
      </c>
      <c r="D25" t="s">
        <v>40</v>
      </c>
      <c r="E25" s="2">
        <v>59160</v>
      </c>
      <c r="F25" s="3">
        <v>2.7858305099999998</v>
      </c>
    </row>
    <row r="26" spans="3:9" x14ac:dyDescent="0.3">
      <c r="C26" t="s">
        <v>41</v>
      </c>
      <c r="D26" t="s">
        <v>42</v>
      </c>
      <c r="E26" s="2">
        <v>28433</v>
      </c>
      <c r="F26" s="3">
        <v>2.46017778</v>
      </c>
    </row>
    <row r="27" spans="3:9" x14ac:dyDescent="0.3">
      <c r="C27" t="s">
        <v>43</v>
      </c>
      <c r="D27" t="s">
        <v>44</v>
      </c>
      <c r="E27" s="2">
        <v>203492</v>
      </c>
      <c r="F27" s="3">
        <v>2.1126459899999999</v>
      </c>
    </row>
    <row r="28" spans="3:9" x14ac:dyDescent="0.3">
      <c r="C28" t="s">
        <v>45</v>
      </c>
      <c r="D28" t="s">
        <v>46</v>
      </c>
      <c r="E28" s="2">
        <v>28530</v>
      </c>
      <c r="F28" s="3">
        <v>1.6301237500000001</v>
      </c>
    </row>
    <row r="29" spans="3:9" x14ac:dyDescent="0.3">
      <c r="C29" t="s">
        <v>47</v>
      </c>
      <c r="D29" t="s">
        <v>48</v>
      </c>
      <c r="E29" s="2">
        <v>17968</v>
      </c>
      <c r="F29" s="3">
        <v>1.56927379</v>
      </c>
    </row>
    <row r="30" spans="3:9" x14ac:dyDescent="0.3">
      <c r="C30" t="s">
        <v>49</v>
      </c>
      <c r="D30" t="s">
        <v>50</v>
      </c>
      <c r="E30" s="2">
        <v>29692</v>
      </c>
      <c r="F30" s="3">
        <v>1.0982181499999999</v>
      </c>
    </row>
    <row r="31" spans="3:9" x14ac:dyDescent="0.3">
      <c r="C31" t="s">
        <v>51</v>
      </c>
      <c r="D31" t="s">
        <v>52</v>
      </c>
      <c r="E31" s="2">
        <v>12687</v>
      </c>
      <c r="F31" s="3">
        <v>1.00204253</v>
      </c>
    </row>
    <row r="32" spans="3:9" x14ac:dyDescent="0.3">
      <c r="C32" t="s">
        <v>53</v>
      </c>
      <c r="D32" t="s">
        <v>54</v>
      </c>
      <c r="E32" s="2">
        <v>7166</v>
      </c>
      <c r="F32" s="3">
        <v>0.93121710000000002</v>
      </c>
    </row>
    <row r="33" spans="3:6" x14ac:dyDescent="0.3">
      <c r="C33" t="s">
        <v>55</v>
      </c>
      <c r="D33" t="s">
        <v>56</v>
      </c>
      <c r="E33" s="2">
        <v>27005</v>
      </c>
      <c r="F33" s="3">
        <v>0.90412769000000004</v>
      </c>
    </row>
    <row r="34" spans="3:6" x14ac:dyDescent="0.3">
      <c r="C34" t="s">
        <v>57</v>
      </c>
      <c r="D34" t="s">
        <v>58</v>
      </c>
      <c r="E34" s="2">
        <v>3900</v>
      </c>
      <c r="F34" s="3">
        <v>0.77170459000000002</v>
      </c>
    </row>
    <row r="35" spans="3:6" x14ac:dyDescent="0.3">
      <c r="C35" t="s">
        <v>59</v>
      </c>
      <c r="D35" t="s">
        <v>60</v>
      </c>
      <c r="E35" s="2">
        <v>6020</v>
      </c>
      <c r="F35" s="3">
        <v>0.63589709000000005</v>
      </c>
    </row>
    <row r="36" spans="3:6" x14ac:dyDescent="0.3">
      <c r="C36" t="s">
        <v>61</v>
      </c>
      <c r="D36" t="s">
        <v>62</v>
      </c>
      <c r="E36" s="2">
        <v>11790</v>
      </c>
      <c r="F36" s="3">
        <v>0.61229756000000002</v>
      </c>
    </row>
    <row r="37" spans="3:6" x14ac:dyDescent="0.3">
      <c r="C37" t="s">
        <v>63</v>
      </c>
      <c r="D37" t="s">
        <v>64</v>
      </c>
      <c r="E37" s="2">
        <v>8617</v>
      </c>
      <c r="F37" s="3">
        <v>0.58876642000000001</v>
      </c>
    </row>
    <row r="38" spans="3:6" x14ac:dyDescent="0.3">
      <c r="C38" t="s">
        <v>65</v>
      </c>
      <c r="D38" t="s">
        <v>66</v>
      </c>
      <c r="E38" s="2">
        <v>1562</v>
      </c>
      <c r="F38" s="3">
        <v>0.42232153</v>
      </c>
    </row>
    <row r="39" spans="3:6" x14ac:dyDescent="0.3">
      <c r="C39" t="s">
        <v>67</v>
      </c>
      <c r="D39" t="s">
        <v>68</v>
      </c>
      <c r="E39" s="2">
        <v>1297</v>
      </c>
      <c r="F39" s="3">
        <v>0.25683284000000001</v>
      </c>
    </row>
    <row r="40" spans="3:6" x14ac:dyDescent="0.3">
      <c r="C40" t="s">
        <v>69</v>
      </c>
      <c r="D40" t="s">
        <v>70</v>
      </c>
      <c r="E40" s="2">
        <v>1150</v>
      </c>
      <c r="F40" s="3">
        <v>0.22810395999999999</v>
      </c>
    </row>
    <row r="41" spans="3:6" x14ac:dyDescent="0.3">
      <c r="C41" t="s">
        <v>71</v>
      </c>
      <c r="D41" t="s">
        <v>72</v>
      </c>
      <c r="E41" s="2">
        <v>883</v>
      </c>
      <c r="F41" s="3">
        <v>0.19938781999999999</v>
      </c>
    </row>
    <row r="42" spans="3:6" x14ac:dyDescent="0.3">
      <c r="C42" t="s">
        <v>73</v>
      </c>
      <c r="D42" t="s">
        <v>74</v>
      </c>
      <c r="E42" s="2">
        <v>1033</v>
      </c>
      <c r="F42" s="3">
        <v>0.19902623999999999</v>
      </c>
    </row>
    <row r="43" spans="3:6" x14ac:dyDescent="0.3">
      <c r="C43" t="s">
        <v>75</v>
      </c>
      <c r="D43" t="s">
        <v>76</v>
      </c>
      <c r="E43" s="2">
        <v>818</v>
      </c>
      <c r="F43" s="3">
        <v>0.17139525999999999</v>
      </c>
    </row>
    <row r="44" spans="3:6" x14ac:dyDescent="0.3">
      <c r="C44" t="s">
        <v>77</v>
      </c>
      <c r="D44" t="s">
        <v>78</v>
      </c>
      <c r="E44" s="2">
        <v>775</v>
      </c>
      <c r="F44" s="3">
        <v>0.16405370999999999</v>
      </c>
    </row>
    <row r="45" spans="3:6" x14ac:dyDescent="0.3">
      <c r="C45" t="s">
        <v>79</v>
      </c>
      <c r="D45" t="s">
        <v>80</v>
      </c>
      <c r="E45" s="2">
        <v>1487</v>
      </c>
      <c r="F45" s="3">
        <v>0.14298546000000001</v>
      </c>
    </row>
    <row r="46" spans="3:6" x14ac:dyDescent="0.3">
      <c r="C46" t="s">
        <v>81</v>
      </c>
      <c r="D46" t="s">
        <v>82</v>
      </c>
      <c r="E46" s="2">
        <v>584</v>
      </c>
      <c r="F46" s="3">
        <v>0.12205668</v>
      </c>
    </row>
    <row r="47" spans="3:6" x14ac:dyDescent="0.3">
      <c r="C47" t="s">
        <v>83</v>
      </c>
      <c r="D47" t="s">
        <v>84</v>
      </c>
      <c r="E47" s="2">
        <v>677</v>
      </c>
      <c r="F47" s="3">
        <v>0.12189111</v>
      </c>
    </row>
    <row r="48" spans="3:6" x14ac:dyDescent="0.3">
      <c r="C48" t="s">
        <v>85</v>
      </c>
      <c r="D48" t="s">
        <v>86</v>
      </c>
      <c r="E48" s="2">
        <v>554</v>
      </c>
      <c r="F48" s="3">
        <v>0.10902464000000001</v>
      </c>
    </row>
    <row r="49" spans="3:6" x14ac:dyDescent="0.3">
      <c r="C49" t="s">
        <v>87</v>
      </c>
      <c r="D49" t="s">
        <v>88</v>
      </c>
      <c r="E49" s="2">
        <v>414</v>
      </c>
      <c r="F49" s="3">
        <v>9.4326800000000002E-2</v>
      </c>
    </row>
    <row r="50" spans="3:6" x14ac:dyDescent="0.3">
      <c r="C50" t="s">
        <v>89</v>
      </c>
      <c r="D50" t="s">
        <v>90</v>
      </c>
      <c r="E50" s="2">
        <v>377</v>
      </c>
      <c r="F50" s="3">
        <v>8.4608630000000004E-2</v>
      </c>
    </row>
    <row r="51" spans="3:6" x14ac:dyDescent="0.3">
      <c r="C51" t="s">
        <v>91</v>
      </c>
      <c r="D51" t="s">
        <v>92</v>
      </c>
      <c r="E51" s="2">
        <v>391</v>
      </c>
      <c r="F51" s="3">
        <v>6.289815E-2</v>
      </c>
    </row>
    <row r="52" spans="3:6" x14ac:dyDescent="0.3">
      <c r="C52" t="s">
        <v>93</v>
      </c>
      <c r="D52" t="s">
        <v>94</v>
      </c>
      <c r="E52" s="2">
        <v>284</v>
      </c>
      <c r="F52" s="3">
        <v>5.4131230000000002E-2</v>
      </c>
    </row>
    <row r="53" spans="3:6" x14ac:dyDescent="0.3">
      <c r="C53" t="s">
        <v>95</v>
      </c>
      <c r="D53" t="s">
        <v>96</v>
      </c>
      <c r="E53" s="2">
        <v>252</v>
      </c>
      <c r="F53" s="3">
        <v>4.6222069999999997E-2</v>
      </c>
    </row>
    <row r="54" spans="3:6" x14ac:dyDescent="0.3">
      <c r="C54" t="s">
        <v>97</v>
      </c>
      <c r="D54" t="s">
        <v>98</v>
      </c>
      <c r="E54" s="2">
        <v>241</v>
      </c>
      <c r="F54" s="3">
        <v>4.611606E-2</v>
      </c>
    </row>
    <row r="55" spans="3:6" x14ac:dyDescent="0.3">
      <c r="C55" t="s">
        <v>99</v>
      </c>
      <c r="D55" t="s">
        <v>100</v>
      </c>
      <c r="E55" s="2">
        <v>299</v>
      </c>
      <c r="F55" s="3">
        <v>3.8575739999999997E-2</v>
      </c>
    </row>
    <row r="56" spans="3:6" x14ac:dyDescent="0.3">
      <c r="C56" t="s">
        <v>101</v>
      </c>
      <c r="D56" t="s">
        <v>102</v>
      </c>
      <c r="E56" s="2">
        <v>177</v>
      </c>
      <c r="F56" s="3">
        <v>3.5206179999999997E-2</v>
      </c>
    </row>
    <row r="58" spans="3:6" x14ac:dyDescent="0.3">
      <c r="D58" s="4" t="s">
        <v>103</v>
      </c>
      <c r="E58" s="2">
        <v>10686588</v>
      </c>
      <c r="F58" s="3">
        <v>240.678381</v>
      </c>
    </row>
  </sheetData>
  <pageMargins left="0.7" right="0.7" top="0.75" bottom="0.75" header="0.3" footer="0.3"/>
  <pageSetup firstPageNumber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/>
  </sheetPr>
  <dimension ref="C3:E37"/>
  <sheetViews>
    <sheetView workbookViewId="0"/>
  </sheetViews>
  <sheetFormatPr baseColWidth="10" defaultColWidth="8.88671875" defaultRowHeight="14.4" x14ac:dyDescent="0.3"/>
  <cols>
    <col min="3" max="3" width="50" customWidth="1"/>
    <col min="4" max="5" width="25" customWidth="1"/>
  </cols>
  <sheetData>
    <row r="3" spans="3:5" x14ac:dyDescent="0.3">
      <c r="C3" t="s">
        <v>0</v>
      </c>
    </row>
    <row r="5" spans="3:5" x14ac:dyDescent="0.3">
      <c r="C5" t="s">
        <v>1</v>
      </c>
    </row>
    <row r="7" spans="3:5" x14ac:dyDescent="0.3">
      <c r="C7" t="s">
        <v>2</v>
      </c>
    </row>
    <row r="8" spans="3:5" x14ac:dyDescent="0.3">
      <c r="C8" t="s">
        <v>3</v>
      </c>
    </row>
    <row r="9" spans="3:5" x14ac:dyDescent="0.3">
      <c r="C9" s="1" t="s">
        <v>104</v>
      </c>
      <c r="D9" s="1" t="s">
        <v>6</v>
      </c>
      <c r="E9" s="1" t="s">
        <v>7</v>
      </c>
    </row>
    <row r="10" spans="3:5" x14ac:dyDescent="0.3">
      <c r="C10" t="s">
        <v>105</v>
      </c>
      <c r="D10" s="2">
        <v>351453</v>
      </c>
      <c r="E10" s="3">
        <v>62.163773480000003</v>
      </c>
    </row>
    <row r="11" spans="3:5" x14ac:dyDescent="0.3">
      <c r="C11" t="s">
        <v>106</v>
      </c>
      <c r="D11" s="2">
        <v>450512</v>
      </c>
      <c r="E11" s="3">
        <v>53.694409149999998</v>
      </c>
    </row>
    <row r="12" spans="3:5" x14ac:dyDescent="0.3">
      <c r="C12" t="s">
        <v>107</v>
      </c>
      <c r="D12" s="2">
        <v>768516</v>
      </c>
      <c r="E12" s="3">
        <v>34.278749140000002</v>
      </c>
    </row>
    <row r="13" spans="3:5" x14ac:dyDescent="0.3">
      <c r="C13" t="s">
        <v>108</v>
      </c>
      <c r="D13" s="2">
        <v>156581</v>
      </c>
      <c r="E13" s="3">
        <v>29.118884080000001</v>
      </c>
    </row>
    <row r="14" spans="3:5" x14ac:dyDescent="0.3">
      <c r="C14" t="s">
        <v>109</v>
      </c>
      <c r="D14" s="2">
        <v>1321954</v>
      </c>
      <c r="E14" s="3">
        <v>20.97884054</v>
      </c>
    </row>
    <row r="15" spans="3:5" x14ac:dyDescent="0.3">
      <c r="C15" t="s">
        <v>110</v>
      </c>
      <c r="D15" s="2">
        <v>58757</v>
      </c>
      <c r="E15" s="3">
        <v>11.93293207</v>
      </c>
    </row>
    <row r="16" spans="3:5" x14ac:dyDescent="0.3">
      <c r="C16" t="s">
        <v>111</v>
      </c>
      <c r="D16" s="2">
        <v>141656</v>
      </c>
      <c r="E16" s="3">
        <v>10.65330206</v>
      </c>
    </row>
    <row r="17" spans="3:5" x14ac:dyDescent="0.3">
      <c r="C17" t="s">
        <v>112</v>
      </c>
      <c r="D17" s="2">
        <v>233466</v>
      </c>
      <c r="E17" s="3">
        <v>6.4876818199999997</v>
      </c>
    </row>
    <row r="18" spans="3:5" x14ac:dyDescent="0.3">
      <c r="C18" t="s">
        <v>113</v>
      </c>
      <c r="D18" s="2">
        <v>7057117</v>
      </c>
      <c r="E18" s="3">
        <v>4.7199396</v>
      </c>
    </row>
    <row r="19" spans="3:5" x14ac:dyDescent="0.3">
      <c r="C19" t="s">
        <v>114</v>
      </c>
      <c r="D19" s="2">
        <v>92097</v>
      </c>
      <c r="E19" s="3">
        <v>2.5749026399999999</v>
      </c>
    </row>
    <row r="20" spans="3:5" x14ac:dyDescent="0.3">
      <c r="C20" t="s">
        <v>115</v>
      </c>
      <c r="D20" s="2">
        <v>24396</v>
      </c>
      <c r="E20" s="3">
        <v>1.25991418</v>
      </c>
    </row>
    <row r="21" spans="3:5" x14ac:dyDescent="0.3">
      <c r="C21" t="s">
        <v>116</v>
      </c>
      <c r="D21" s="2">
        <v>6963</v>
      </c>
      <c r="E21" s="3">
        <v>0.82164428</v>
      </c>
    </row>
    <row r="22" spans="3:5" x14ac:dyDescent="0.3">
      <c r="C22" t="s">
        <v>117</v>
      </c>
      <c r="D22" s="2">
        <v>2117</v>
      </c>
      <c r="E22" s="3">
        <v>0.80140926000000001</v>
      </c>
    </row>
    <row r="23" spans="3:5" x14ac:dyDescent="0.3">
      <c r="C23" t="s">
        <v>118</v>
      </c>
      <c r="D23" s="2">
        <v>736</v>
      </c>
      <c r="E23" s="3">
        <v>0.28407763000000003</v>
      </c>
    </row>
    <row r="24" spans="3:5" x14ac:dyDescent="0.3">
      <c r="C24" t="s">
        <v>119</v>
      </c>
      <c r="D24" s="2">
        <v>956</v>
      </c>
      <c r="E24" s="3">
        <v>0.27000716000000002</v>
      </c>
    </row>
    <row r="25" spans="3:5" x14ac:dyDescent="0.3">
      <c r="C25" t="s">
        <v>120</v>
      </c>
      <c r="D25" s="2">
        <v>295</v>
      </c>
      <c r="E25" s="3">
        <v>0.17850446</v>
      </c>
    </row>
    <row r="26" spans="3:5" x14ac:dyDescent="0.3">
      <c r="C26" t="s">
        <v>121</v>
      </c>
      <c r="D26" s="2">
        <v>416</v>
      </c>
      <c r="E26" s="3">
        <v>8.9947879999999994E-2</v>
      </c>
    </row>
    <row r="27" spans="3:5" x14ac:dyDescent="0.3">
      <c r="C27" t="s">
        <v>122</v>
      </c>
      <c r="D27" s="2">
        <v>12193</v>
      </c>
      <c r="E27" s="3">
        <v>8.4578399999999998E-2</v>
      </c>
    </row>
    <row r="28" spans="3:5" x14ac:dyDescent="0.3">
      <c r="C28" t="s">
        <v>123</v>
      </c>
      <c r="D28" s="2">
        <v>463</v>
      </c>
      <c r="E28" s="3">
        <v>7.2129189999999996E-2</v>
      </c>
    </row>
    <row r="29" spans="3:5" x14ac:dyDescent="0.3">
      <c r="C29" t="s">
        <v>124</v>
      </c>
      <c r="D29" s="2">
        <v>457</v>
      </c>
      <c r="E29" s="3">
        <v>7.0243949999999999E-2</v>
      </c>
    </row>
    <row r="30" spans="3:5" x14ac:dyDescent="0.3">
      <c r="C30" t="s">
        <v>125</v>
      </c>
      <c r="D30" s="2">
        <v>3445</v>
      </c>
      <c r="E30" s="3">
        <v>4.720655E-2</v>
      </c>
    </row>
    <row r="31" spans="3:5" x14ac:dyDescent="0.3">
      <c r="C31" t="s">
        <v>126</v>
      </c>
      <c r="D31" s="2">
        <v>90</v>
      </c>
      <c r="E31" s="3">
        <v>4.3425489999999997E-2</v>
      </c>
    </row>
    <row r="32" spans="3:5" x14ac:dyDescent="0.3">
      <c r="C32" t="s">
        <v>127</v>
      </c>
      <c r="D32" s="2">
        <v>722</v>
      </c>
      <c r="E32" s="3">
        <v>1.9311769999999999E-2</v>
      </c>
    </row>
    <row r="33" spans="3:5" x14ac:dyDescent="0.3">
      <c r="C33" t="s">
        <v>128</v>
      </c>
      <c r="D33" s="2">
        <v>21</v>
      </c>
      <c r="E33" s="3">
        <v>1.692449E-2</v>
      </c>
    </row>
    <row r="34" spans="3:5" x14ac:dyDescent="0.3">
      <c r="C34" t="s">
        <v>129</v>
      </c>
      <c r="D34" s="2">
        <v>1196</v>
      </c>
      <c r="E34" s="3">
        <v>8.2253799999999992E-3</v>
      </c>
    </row>
    <row r="35" spans="3:5" x14ac:dyDescent="0.3">
      <c r="C35" t="s">
        <v>130</v>
      </c>
      <c r="D35" s="2">
        <v>13</v>
      </c>
      <c r="E35" s="3">
        <v>7.4163500000000004E-3</v>
      </c>
    </row>
    <row r="37" spans="3:5" x14ac:dyDescent="0.3">
      <c r="C37" s="4" t="s">
        <v>103</v>
      </c>
      <c r="D37" s="2">
        <v>10686588</v>
      </c>
      <c r="E37" s="3">
        <v>240.678381</v>
      </c>
    </row>
  </sheetData>
  <pageMargins left="0.7" right="0.7" top="0.75" bottom="0.75" header="0.3" footer="0.3"/>
  <pageSetup firstPageNumber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autoPageBreaks="0"/>
  </sheetPr>
  <dimension ref="C3:E28"/>
  <sheetViews>
    <sheetView workbookViewId="0"/>
  </sheetViews>
  <sheetFormatPr baseColWidth="10" defaultColWidth="8.88671875" defaultRowHeight="14.4" x14ac:dyDescent="0.3"/>
  <cols>
    <col min="3" max="3" width="50" customWidth="1"/>
    <col min="4" max="5" width="25" customWidth="1"/>
  </cols>
  <sheetData>
    <row r="3" spans="3:5" x14ac:dyDescent="0.3">
      <c r="C3" t="s">
        <v>0</v>
      </c>
    </row>
    <row r="5" spans="3:5" x14ac:dyDescent="0.3">
      <c r="C5" t="s">
        <v>1</v>
      </c>
    </row>
    <row r="7" spans="3:5" x14ac:dyDescent="0.3">
      <c r="C7" t="s">
        <v>2</v>
      </c>
    </row>
    <row r="8" spans="3:5" x14ac:dyDescent="0.3">
      <c r="C8" t="s">
        <v>3</v>
      </c>
    </row>
    <row r="9" spans="3:5" x14ac:dyDescent="0.3">
      <c r="C9" s="1" t="s">
        <v>131</v>
      </c>
      <c r="D9" s="1" t="s">
        <v>6</v>
      </c>
      <c r="E9" s="1" t="s">
        <v>7</v>
      </c>
    </row>
    <row r="10" spans="3:5" x14ac:dyDescent="0.3">
      <c r="C10" t="s">
        <v>132</v>
      </c>
      <c r="D10" s="2">
        <v>10161842</v>
      </c>
      <c r="E10" s="3">
        <v>138.69468323000001</v>
      </c>
    </row>
    <row r="11" spans="3:5" x14ac:dyDescent="0.3">
      <c r="C11" t="s">
        <v>133</v>
      </c>
      <c r="D11" s="2">
        <v>514165</v>
      </c>
      <c r="E11" s="3">
        <v>101.96191591</v>
      </c>
    </row>
    <row r="12" spans="3:5" x14ac:dyDescent="0.3">
      <c r="C12" t="s">
        <v>134</v>
      </c>
      <c r="D12" s="2">
        <v>2643</v>
      </c>
      <c r="E12" s="3">
        <v>5.4173299999999997E-3</v>
      </c>
    </row>
    <row r="13" spans="3:5" x14ac:dyDescent="0.3">
      <c r="C13" t="s">
        <v>135</v>
      </c>
      <c r="D13" s="2">
        <v>1675</v>
      </c>
      <c r="E13" s="3">
        <v>3.4332299999999998E-3</v>
      </c>
    </row>
    <row r="14" spans="3:5" x14ac:dyDescent="0.3">
      <c r="C14" t="s">
        <v>136</v>
      </c>
      <c r="D14" s="2">
        <v>1140</v>
      </c>
      <c r="E14" s="3">
        <v>2.33665E-3</v>
      </c>
    </row>
    <row r="15" spans="3:5" x14ac:dyDescent="0.3">
      <c r="C15" t="s">
        <v>137</v>
      </c>
      <c r="D15" s="2">
        <v>897</v>
      </c>
      <c r="E15" s="3">
        <v>1.8385700000000001E-3</v>
      </c>
    </row>
    <row r="16" spans="3:5" x14ac:dyDescent="0.3">
      <c r="C16" t="s">
        <v>138</v>
      </c>
      <c r="D16" s="2">
        <v>847</v>
      </c>
      <c r="E16" s="3">
        <v>1.73609E-3</v>
      </c>
    </row>
    <row r="17" spans="3:5" x14ac:dyDescent="0.3">
      <c r="C17" t="s">
        <v>139</v>
      </c>
      <c r="D17" s="2">
        <v>834</v>
      </c>
      <c r="E17" s="3">
        <v>1.70944E-3</v>
      </c>
    </row>
    <row r="18" spans="3:5" x14ac:dyDescent="0.3">
      <c r="C18" t="s">
        <v>140</v>
      </c>
      <c r="D18" s="2">
        <v>692</v>
      </c>
      <c r="E18" s="3">
        <v>1.4183900000000001E-3</v>
      </c>
    </row>
    <row r="19" spans="3:5" x14ac:dyDescent="0.3">
      <c r="C19" t="s">
        <v>141</v>
      </c>
      <c r="D19" s="2">
        <v>484</v>
      </c>
      <c r="E19" s="3">
        <v>9.9204999999999996E-4</v>
      </c>
    </row>
    <row r="20" spans="3:5" x14ac:dyDescent="0.3">
      <c r="C20" t="s">
        <v>142</v>
      </c>
      <c r="D20" s="2">
        <v>408</v>
      </c>
      <c r="E20" s="3">
        <v>8.3628000000000001E-4</v>
      </c>
    </row>
    <row r="21" spans="3:5" x14ac:dyDescent="0.3">
      <c r="C21" t="s">
        <v>143</v>
      </c>
      <c r="D21" s="2">
        <v>291</v>
      </c>
      <c r="E21" s="3">
        <v>5.9646000000000005E-4</v>
      </c>
    </row>
    <row r="22" spans="3:5" x14ac:dyDescent="0.3">
      <c r="C22" t="s">
        <v>144</v>
      </c>
      <c r="D22" s="2">
        <v>193</v>
      </c>
      <c r="E22" s="3">
        <v>3.9559000000000003E-4</v>
      </c>
    </row>
    <row r="23" spans="3:5" x14ac:dyDescent="0.3">
      <c r="C23" t="s">
        <v>145</v>
      </c>
      <c r="D23" s="2">
        <v>188</v>
      </c>
      <c r="E23" s="3">
        <v>3.8534000000000002E-4</v>
      </c>
    </row>
    <row r="24" spans="3:5" x14ac:dyDescent="0.3">
      <c r="C24" t="s">
        <v>146</v>
      </c>
      <c r="D24" s="2">
        <v>158</v>
      </c>
      <c r="E24" s="3">
        <v>3.2384999999999998E-4</v>
      </c>
    </row>
    <row r="25" spans="3:5" x14ac:dyDescent="0.3">
      <c r="C25" t="s">
        <v>147</v>
      </c>
      <c r="D25" s="2">
        <v>130</v>
      </c>
      <c r="E25" s="3">
        <v>2.6645999999999999E-4</v>
      </c>
    </row>
    <row r="26" spans="3:5" x14ac:dyDescent="0.3">
      <c r="C26" t="s">
        <v>148</v>
      </c>
      <c r="D26" s="2">
        <v>1</v>
      </c>
      <c r="E26" s="3">
        <v>9.6130000000000003E-5</v>
      </c>
    </row>
    <row r="28" spans="3:5" x14ac:dyDescent="0.3">
      <c r="C28" s="4" t="s">
        <v>103</v>
      </c>
      <c r="D28" s="2">
        <v>10686588</v>
      </c>
      <c r="E28" s="3">
        <v>240.67838100000009</v>
      </c>
    </row>
  </sheetData>
  <pageMargins left="0.7" right="0.7" top="0.75" bottom="0.75" header="0.3" footer="0.3"/>
  <pageSetup firstPageNumber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By Song</vt:lpstr>
      <vt:lpstr>By Source</vt:lpstr>
      <vt:lpstr>By Country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Application</dc:creator>
  <cp:lastModifiedBy>Diego Josue</cp:lastModifiedBy>
  <dcterms:created xsi:type="dcterms:W3CDTF">2025-10-05T22:09:44Z</dcterms:created>
  <dcterms:modified xsi:type="dcterms:W3CDTF">2025-11-04T22:56:51Z</dcterms:modified>
</cp:coreProperties>
</file>